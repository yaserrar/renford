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c5693273bc23704/Documents/Renford/"/>
    </mc:Choice>
  </mc:AlternateContent>
  <xr:revisionPtr revIDLastSave="11" documentId="8_{353F3CAB-E94A-4BA3-9FE6-AD552E05A914}" xr6:coauthVersionLast="47" xr6:coauthVersionMax="47" xr10:uidLastSave="{3797E483-2768-4395-82C5-41567BF87B6F}"/>
  <bookViews>
    <workbookView xWindow="-110" yWindow="-110" windowWidth="19420" windowHeight="11500" activeTab="2" xr2:uid="{00000000-000D-0000-FFFF-FFFF00000000}"/>
  </bookViews>
  <sheets>
    <sheet name="Catégorie" sheetId="1" r:id="rId1"/>
    <sheet name="Sous catégorie" sheetId="3" r:id="rId2"/>
    <sheet name="Spécialité" sheetId="2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64" i="2"/>
  <c r="D63" i="2"/>
  <c r="D59" i="2"/>
  <c r="D58" i="2"/>
  <c r="D57" i="2"/>
  <c r="D56" i="2"/>
  <c r="D55" i="2"/>
  <c r="D54" i="2"/>
  <c r="D53" i="2"/>
  <c r="D52" i="2"/>
  <c r="D51" i="2"/>
  <c r="D50" i="2"/>
  <c r="D49" i="2"/>
  <c r="D47" i="2"/>
  <c r="D46" i="2"/>
  <c r="D45" i="2"/>
  <c r="D44" i="2"/>
  <c r="D43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3" i="2"/>
  <c r="D12" i="2"/>
  <c r="D11" i="2"/>
  <c r="D10" i="2"/>
  <c r="D9" i="2"/>
  <c r="D8" i="2"/>
  <c r="D7" i="2"/>
  <c r="D6" i="2"/>
  <c r="D5" i="2"/>
  <c r="D3" i="2"/>
</calcChain>
</file>

<file path=xl/sharedStrings.xml><?xml version="1.0" encoding="utf-8"?>
<sst xmlns="http://schemas.openxmlformats.org/spreadsheetml/2006/main" count="130" uniqueCount="114">
  <si>
    <t>ID_Catégorie</t>
  </si>
  <si>
    <t>Catégorie principale</t>
  </si>
  <si>
    <t>Pilates</t>
  </si>
  <si>
    <t>Yoga</t>
  </si>
  <si>
    <t>Fitness &amp; Musculation</t>
  </si>
  <si>
    <t>Escalade</t>
  </si>
  <si>
    <t>Boxe</t>
  </si>
  <si>
    <t>Danse</t>
  </si>
  <si>
    <t>Bien-Être &amp; Récupération</t>
  </si>
  <si>
    <t>ID_Spécialité</t>
  </si>
  <si>
    <t>Spécialité</t>
  </si>
  <si>
    <t>Reformer</t>
  </si>
  <si>
    <t>Cadillac</t>
  </si>
  <si>
    <t>Chair (Wunda Chair)</t>
  </si>
  <si>
    <t>Pilates prénatal / postnatal</t>
  </si>
  <si>
    <t>Lagree Fitness</t>
  </si>
  <si>
    <t>Hatha Yoga</t>
  </si>
  <si>
    <t>Vinyasa Yoga</t>
  </si>
  <si>
    <t>Ashtanga Yoga</t>
  </si>
  <si>
    <t>Yin Yoga</t>
  </si>
  <si>
    <t>Kundalini Yoga</t>
  </si>
  <si>
    <t>Yoga prénatal / postnatal</t>
  </si>
  <si>
    <t>Yoga Nidra</t>
  </si>
  <si>
    <t>Yoga Flow</t>
  </si>
  <si>
    <t>Qi Gong / Tai Chi</t>
  </si>
  <si>
    <t>CAF (Cuisses Abdos Fessiers)</t>
  </si>
  <si>
    <t>LIA (Low Impact Aerobic)</t>
  </si>
  <si>
    <t>Circuit training</t>
  </si>
  <si>
    <t>Cross Training / CrossFit</t>
  </si>
  <si>
    <t>Stretching / Mobilité</t>
  </si>
  <si>
    <t>Cardio Boxing</t>
  </si>
  <si>
    <t>Bootcamp</t>
  </si>
  <si>
    <t>Gym posturale / dos</t>
  </si>
  <si>
    <t>EMS (Électrostimulation)</t>
  </si>
  <si>
    <t>Encadrement en salle (bloc / voie)</t>
  </si>
  <si>
    <t>Encadrement en milieu naturel</t>
  </si>
  <si>
    <t>Ouvreur de voies / blocs</t>
  </si>
  <si>
    <t>Cours enfants / ados</t>
  </si>
  <si>
    <t>Initiation / loisirs adultes</t>
  </si>
  <si>
    <t>Boxe anglaise</t>
  </si>
  <si>
    <t>Boxe française / Savate</t>
  </si>
  <si>
    <t>Kickboxing</t>
  </si>
  <si>
    <t>Muay Thaï</t>
  </si>
  <si>
    <t>Boxe éducative (enfants / ados)</t>
  </si>
  <si>
    <t>Cardio Boxe / Boxe fitness</t>
  </si>
  <si>
    <t>Coaching boxe (loisir ou compétiteur)</t>
  </si>
  <si>
    <t>Danse classique</t>
  </si>
  <si>
    <t>Danse contemporaine</t>
  </si>
  <si>
    <t>Jazz / Modern Jazz</t>
  </si>
  <si>
    <t>Hip Hop / Street Dance</t>
  </si>
  <si>
    <t>Ragga Dancehall</t>
  </si>
  <si>
    <t>Danses latines (salsa, bachata…)</t>
  </si>
  <si>
    <t>Zumba® Kids</t>
  </si>
  <si>
    <t>Zumba® Step</t>
  </si>
  <si>
    <t>Zumba® Gold</t>
  </si>
  <si>
    <t>Aqua Zumba®</t>
  </si>
  <si>
    <t>Danse africaine</t>
  </si>
  <si>
    <t>Danse enfants</t>
  </si>
  <si>
    <t>Barre au sol</t>
  </si>
  <si>
    <t>Massages bien-être / sportifs</t>
  </si>
  <si>
    <t>Kinésithérapie sportive (hors acte médical)</t>
  </si>
  <si>
    <t>Massage deep tissue / récupération</t>
  </si>
  <si>
    <t>Réflexologie</t>
  </si>
  <si>
    <t>Relaxation / cohérence cardiaque</t>
  </si>
  <si>
    <t>Sonothérapie / Bains sonores</t>
  </si>
  <si>
    <t>Sophrologie</t>
  </si>
  <si>
    <t>Méditation / pleine conscience</t>
  </si>
  <si>
    <t>Stretch &amp; mobilité douce</t>
  </si>
  <si>
    <t>Cryothérapie / pressothérapie</t>
  </si>
  <si>
    <t>Nutrition / diététique</t>
  </si>
  <si>
    <t>Préparation mentale</t>
  </si>
  <si>
    <t>Éducateur sportif multisport</t>
  </si>
  <si>
    <t>Animateur sportif (enfants / ados)</t>
  </si>
  <si>
    <t>Intervenant scolaire / EPS</t>
  </si>
  <si>
    <t>Animateur sport santé / seniors / APA</t>
  </si>
  <si>
    <t>Animateur aquatique</t>
  </si>
  <si>
    <t>Hôte / Hôtesse d’accueil sportif</t>
  </si>
  <si>
    <t>Matwork</t>
  </si>
  <si>
    <t>Petits matériels</t>
  </si>
  <si>
    <t>Animation sportive</t>
  </si>
  <si>
    <t>Body Pump</t>
  </si>
  <si>
    <t xml:space="preserve">ID Catégorie </t>
  </si>
  <si>
    <t>Catégorie</t>
  </si>
  <si>
    <t>Sous Catégorie</t>
  </si>
  <si>
    <t>Fitness</t>
  </si>
  <si>
    <t xml:space="preserve">LesMills </t>
  </si>
  <si>
    <t xml:space="preserve">Zumba </t>
  </si>
  <si>
    <t>ID Sous catégorie</t>
  </si>
  <si>
    <t>3A</t>
  </si>
  <si>
    <t xml:space="preserve">3B </t>
  </si>
  <si>
    <t>Step</t>
  </si>
  <si>
    <t>TRX</t>
  </si>
  <si>
    <t>Biking / Spinning</t>
  </si>
  <si>
    <t>Body barre</t>
  </si>
  <si>
    <t>Préparation Physique Générale</t>
  </si>
  <si>
    <t>Body Attack</t>
  </si>
  <si>
    <t>Body Combat</t>
  </si>
  <si>
    <t>Body Step</t>
  </si>
  <si>
    <t>Body Balance</t>
  </si>
  <si>
    <t>Body Jam</t>
  </si>
  <si>
    <t>RPM</t>
  </si>
  <si>
    <t>Zumba classique</t>
  </si>
  <si>
    <t>Strong Toning®</t>
  </si>
  <si>
    <t>Zumba Strong</t>
  </si>
  <si>
    <t>Zumba Sentoa</t>
  </si>
  <si>
    <t>Zumba In The Circuit</t>
  </si>
  <si>
    <t>3B</t>
  </si>
  <si>
    <t>Encadrement Escalade (performance)</t>
  </si>
  <si>
    <t>MMA</t>
  </si>
  <si>
    <t>Judo</t>
  </si>
  <si>
    <t>Karaté</t>
  </si>
  <si>
    <t>HIIT</t>
  </si>
  <si>
    <t>Hot Pilates</t>
  </si>
  <si>
    <t>Hot Yoga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</si>
</sst>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indent="1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"/>
  <sheetViews>
    <sheetView workbookViewId="0">
      <selection activeCell="B12" sqref="B12"/>
    </sheetView>
  </sheetViews>
  <sheetFormatPr baseColWidth="10" defaultColWidth="12.6328125" defaultRowHeight="15.75" customHeight="1" x14ac:dyDescent="0.25"/>
  <cols>
    <col min="2" max="2" width="32.7265625" customWidth="1"/>
  </cols>
  <sheetData>
    <row r="1" spans="1:2" ht="13" x14ac:dyDescent="0.3">
      <c r="A1" s="1" t="s">
        <v>0</v>
      </c>
      <c r="B1" s="1" t="s">
        <v>1</v>
      </c>
    </row>
    <row r="2" spans="1:2" ht="15.75" customHeight="1" x14ac:dyDescent="0.25">
      <c r="A2" s="2">
        <v>1</v>
      </c>
      <c r="B2" s="2" t="s">
        <v>2</v>
      </c>
    </row>
    <row r="3" spans="1:2" ht="15.75" customHeight="1" x14ac:dyDescent="0.25">
      <c r="A3" s="2">
        <v>2</v>
      </c>
      <c r="B3" s="2" t="s">
        <v>3</v>
      </c>
    </row>
    <row r="4" spans="1:2" ht="15.75" customHeight="1" x14ac:dyDescent="0.25">
      <c r="A4" s="2">
        <v>3</v>
      </c>
      <c r="B4" s="2" t="s">
        <v>4</v>
      </c>
    </row>
    <row r="5" spans="1:2" ht="15.75" customHeight="1" x14ac:dyDescent="0.25">
      <c r="A5" s="2">
        <v>4</v>
      </c>
      <c r="B5" s="2" t="s">
        <v>79</v>
      </c>
    </row>
    <row r="6" spans="1:2" ht="15.75" customHeight="1" x14ac:dyDescent="0.25">
      <c r="A6" s="2">
        <v>5</v>
      </c>
      <c r="B6" s="2" t="s">
        <v>5</v>
      </c>
    </row>
    <row r="7" spans="1:2" ht="15.75" customHeight="1" x14ac:dyDescent="0.25">
      <c r="A7" s="2">
        <v>6</v>
      </c>
      <c r="B7" s="2" t="s">
        <v>6</v>
      </c>
    </row>
    <row r="8" spans="1:2" ht="15.75" customHeight="1" x14ac:dyDescent="0.25">
      <c r="A8" s="2">
        <v>7</v>
      </c>
      <c r="B8" s="2" t="s">
        <v>7</v>
      </c>
    </row>
    <row r="9" spans="1:2" ht="15.75" customHeight="1" x14ac:dyDescent="0.25">
      <c r="A9" s="2">
        <v>8</v>
      </c>
      <c r="B9" s="2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4EEF3-2D0D-417C-98C3-18C6B9A0DDAB}">
  <dimension ref="A1:D12"/>
  <sheetViews>
    <sheetView workbookViewId="0">
      <selection activeCell="F12" sqref="F12"/>
    </sheetView>
  </sheetViews>
  <sheetFormatPr baseColWidth="10" defaultRowHeight="12.5" x14ac:dyDescent="0.25"/>
  <cols>
    <col min="1" max="1" width="11.81640625" bestFit="1" customWidth="1"/>
    <col min="2" max="2" width="21.26953125" bestFit="1" customWidth="1"/>
    <col min="3" max="3" width="13.1796875" bestFit="1" customWidth="1"/>
  </cols>
  <sheetData>
    <row r="1" spans="1:4" ht="13" x14ac:dyDescent="0.3">
      <c r="A1" s="1" t="s">
        <v>81</v>
      </c>
      <c r="B1" s="1" t="s">
        <v>82</v>
      </c>
      <c r="C1" t="s">
        <v>83</v>
      </c>
      <c r="D1" t="s">
        <v>87</v>
      </c>
    </row>
    <row r="2" spans="1:4" ht="13" x14ac:dyDescent="0.3">
      <c r="A2" s="1">
        <v>3</v>
      </c>
      <c r="B2" s="2" t="s">
        <v>84</v>
      </c>
      <c r="C2" t="s">
        <v>85</v>
      </c>
      <c r="D2" t="s">
        <v>88</v>
      </c>
    </row>
    <row r="3" spans="1:4" ht="13" x14ac:dyDescent="0.3">
      <c r="A3" s="1"/>
      <c r="B3" s="2"/>
      <c r="C3" t="s">
        <v>86</v>
      </c>
      <c r="D3" t="s">
        <v>89</v>
      </c>
    </row>
    <row r="4" spans="1:4" ht="13" x14ac:dyDescent="0.3">
      <c r="A4" s="1"/>
      <c r="B4" s="2"/>
    </row>
    <row r="5" spans="1:4" ht="13" x14ac:dyDescent="0.3">
      <c r="A5" s="1"/>
      <c r="B5" s="2"/>
    </row>
    <row r="6" spans="1:4" ht="13" x14ac:dyDescent="0.3">
      <c r="A6" s="1"/>
      <c r="B6" s="2"/>
    </row>
    <row r="7" spans="1:4" ht="13" x14ac:dyDescent="0.3">
      <c r="A7" s="1"/>
      <c r="B7" s="2"/>
    </row>
    <row r="8" spans="1:4" ht="13" x14ac:dyDescent="0.3">
      <c r="A8" s="1"/>
      <c r="B8" s="2"/>
    </row>
    <row r="9" spans="1:4" ht="13" x14ac:dyDescent="0.3">
      <c r="A9" s="1"/>
      <c r="B9" s="2"/>
    </row>
    <row r="10" spans="1:4" ht="13" x14ac:dyDescent="0.3">
      <c r="A10" s="1"/>
      <c r="B10" s="2"/>
    </row>
    <row r="11" spans="1:4" ht="13" x14ac:dyDescent="0.3">
      <c r="A11" s="1"/>
      <c r="B11" s="2"/>
    </row>
    <row r="12" spans="1:4" ht="13" x14ac:dyDescent="0.3">
      <c r="A12" s="1"/>
      <c r="B1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93"/>
  <sheetViews>
    <sheetView tabSelected="1" topLeftCell="A13" workbookViewId="0">
      <selection activeCell="B41" sqref="B41"/>
    </sheetView>
  </sheetViews>
  <sheetFormatPr baseColWidth="10" defaultColWidth="12.6328125" defaultRowHeight="15.75" customHeight="1" x14ac:dyDescent="0.25"/>
  <cols>
    <col min="2" max="2" width="42.90625" customWidth="1"/>
    <col min="3" max="3" width="19.7265625" customWidth="1"/>
    <col min="4" max="4" width="21.36328125" customWidth="1"/>
  </cols>
  <sheetData>
    <row r="1" spans="1:4" ht="13" x14ac:dyDescent="0.3">
      <c r="A1" s="1" t="s">
        <v>9</v>
      </c>
      <c r="B1" s="1" t="s">
        <v>10</v>
      </c>
      <c r="C1" s="1" t="s">
        <v>1</v>
      </c>
    </row>
    <row r="2" spans="1:4" ht="15.75" customHeight="1" x14ac:dyDescent="0.35">
      <c r="A2" s="3">
        <v>1</v>
      </c>
      <c r="B2" s="3" t="s">
        <v>77</v>
      </c>
      <c r="C2" s="2">
        <v>1</v>
      </c>
    </row>
    <row r="3" spans="1:4" ht="15.75" customHeight="1" x14ac:dyDescent="0.35">
      <c r="A3" s="3">
        <v>2</v>
      </c>
      <c r="B3" s="3" t="s">
        <v>11</v>
      </c>
      <c r="C3" s="2">
        <v>1</v>
      </c>
      <c r="D3" s="2" t="str">
        <f t="shared" ref="D3:D34" si="0">IF(C3="Pilates",1,
IF(C3="Yoga",2,
IF(C3="Fitness &amp; Musculation",3,
IF(C3="Escalade",5,
IF(C3="Boxe",6,
IF(C3="Danse",7,
IF(C3="Gymnastique",8,
IF(C3="Activité Physique Adaptée (APA)",9,
IF(C3="Bien-Être &amp; Récupération",10,
IF(C3="Activités aquatiques",11,
IF(C3="Animation &amp; Encadrement sportif",4,""))))))))))
)</f>
        <v/>
      </c>
    </row>
    <row r="4" spans="1:4" ht="15.75" customHeight="1" x14ac:dyDescent="0.35">
      <c r="A4" s="3">
        <v>3</v>
      </c>
      <c r="B4" s="3" t="s">
        <v>112</v>
      </c>
      <c r="C4" s="2">
        <v>1</v>
      </c>
      <c r="D4" s="2"/>
    </row>
    <row r="5" spans="1:4" ht="15.75" customHeight="1" x14ac:dyDescent="0.35">
      <c r="A5" s="3">
        <v>4</v>
      </c>
      <c r="B5" s="3" t="s">
        <v>12</v>
      </c>
      <c r="C5" s="2">
        <v>1</v>
      </c>
      <c r="D5" s="2" t="str">
        <f t="shared" si="0"/>
        <v/>
      </c>
    </row>
    <row r="6" spans="1:4" ht="15.75" customHeight="1" x14ac:dyDescent="0.35">
      <c r="A6" s="3">
        <v>5</v>
      </c>
      <c r="B6" s="3" t="s">
        <v>13</v>
      </c>
      <c r="C6" s="2">
        <v>1</v>
      </c>
      <c r="D6" s="2" t="str">
        <f t="shared" si="0"/>
        <v/>
      </c>
    </row>
    <row r="7" spans="1:4" ht="15.75" customHeight="1" x14ac:dyDescent="0.35">
      <c r="A7" s="3">
        <v>6</v>
      </c>
      <c r="B7" s="3" t="s">
        <v>78</v>
      </c>
      <c r="C7" s="2">
        <v>1</v>
      </c>
      <c r="D7" s="2" t="str">
        <f t="shared" si="0"/>
        <v/>
      </c>
    </row>
    <row r="8" spans="1:4" ht="15.75" customHeight="1" x14ac:dyDescent="0.35">
      <c r="A8" s="3">
        <v>7</v>
      </c>
      <c r="B8" s="3" t="s">
        <v>14</v>
      </c>
      <c r="C8" s="2">
        <v>1</v>
      </c>
      <c r="D8" s="2" t="str">
        <f t="shared" si="0"/>
        <v/>
      </c>
    </row>
    <row r="9" spans="1:4" ht="15.75" customHeight="1" x14ac:dyDescent="0.35">
      <c r="A9" s="3">
        <v>8</v>
      </c>
      <c r="B9" s="3" t="s">
        <v>15</v>
      </c>
      <c r="C9" s="2">
        <v>1</v>
      </c>
      <c r="D9" s="2" t="str">
        <f t="shared" si="0"/>
        <v/>
      </c>
    </row>
    <row r="10" spans="1:4" ht="15.75" customHeight="1" x14ac:dyDescent="0.35">
      <c r="A10" s="3">
        <v>9</v>
      </c>
      <c r="B10" s="3" t="s">
        <v>16</v>
      </c>
      <c r="C10" s="2">
        <v>2</v>
      </c>
      <c r="D10" s="2" t="str">
        <f t="shared" si="0"/>
        <v/>
      </c>
    </row>
    <row r="11" spans="1:4" ht="15.75" customHeight="1" x14ac:dyDescent="0.35">
      <c r="A11" s="3">
        <v>10</v>
      </c>
      <c r="B11" s="3" t="s">
        <v>17</v>
      </c>
      <c r="C11" s="2">
        <v>2</v>
      </c>
      <c r="D11" s="2" t="str">
        <f t="shared" si="0"/>
        <v/>
      </c>
    </row>
    <row r="12" spans="1:4" ht="15.75" customHeight="1" x14ac:dyDescent="0.35">
      <c r="A12" s="3">
        <v>11</v>
      </c>
      <c r="B12" s="3" t="s">
        <v>18</v>
      </c>
      <c r="C12" s="2">
        <v>2</v>
      </c>
      <c r="D12" s="2" t="str">
        <f t="shared" si="0"/>
        <v/>
      </c>
    </row>
    <row r="13" spans="1:4" ht="15.75" customHeight="1" x14ac:dyDescent="0.35">
      <c r="A13" s="3">
        <v>12</v>
      </c>
      <c r="B13" s="3" t="s">
        <v>19</v>
      </c>
      <c r="C13" s="2">
        <v>2</v>
      </c>
      <c r="D13" s="2" t="str">
        <f t="shared" si="0"/>
        <v/>
      </c>
    </row>
    <row r="14" spans="1:4" ht="15.75" customHeight="1" x14ac:dyDescent="0.35">
      <c r="A14" s="3">
        <v>13</v>
      </c>
      <c r="B14" s="3" t="s">
        <v>113</v>
      </c>
      <c r="C14" s="2">
        <v>2</v>
      </c>
      <c r="D14" s="2"/>
    </row>
    <row r="15" spans="1:4" ht="15.75" customHeight="1" x14ac:dyDescent="0.35">
      <c r="A15" s="3">
        <v>14</v>
      </c>
      <c r="B15" s="3" t="s">
        <v>20</v>
      </c>
      <c r="C15" s="2">
        <v>2</v>
      </c>
      <c r="D15" s="2" t="str">
        <f t="shared" si="0"/>
        <v/>
      </c>
    </row>
    <row r="16" spans="1:4" ht="15.75" customHeight="1" x14ac:dyDescent="0.35">
      <c r="A16" s="3">
        <v>15</v>
      </c>
      <c r="B16" s="3" t="s">
        <v>21</v>
      </c>
      <c r="C16" s="2">
        <v>2</v>
      </c>
      <c r="D16" s="2" t="str">
        <f t="shared" si="0"/>
        <v/>
      </c>
    </row>
    <row r="17" spans="1:4" ht="15.75" customHeight="1" x14ac:dyDescent="0.35">
      <c r="A17" s="3">
        <v>16</v>
      </c>
      <c r="B17" s="3" t="s">
        <v>22</v>
      </c>
      <c r="C17" s="2">
        <v>2</v>
      </c>
      <c r="D17" s="2" t="str">
        <f t="shared" si="0"/>
        <v/>
      </c>
    </row>
    <row r="18" spans="1:4" ht="15.75" customHeight="1" x14ac:dyDescent="0.35">
      <c r="A18" s="3">
        <v>17</v>
      </c>
      <c r="B18" s="3" t="s">
        <v>23</v>
      </c>
      <c r="C18" s="2">
        <v>2</v>
      </c>
      <c r="D18" s="2" t="str">
        <f t="shared" si="0"/>
        <v/>
      </c>
    </row>
    <row r="19" spans="1:4" ht="14.5" x14ac:dyDescent="0.35">
      <c r="A19" s="3">
        <v>18</v>
      </c>
      <c r="B19" s="3" t="s">
        <v>24</v>
      </c>
      <c r="C19" s="2">
        <v>2</v>
      </c>
      <c r="D19" s="2" t="str">
        <f t="shared" si="0"/>
        <v/>
      </c>
    </row>
    <row r="20" spans="1:4" ht="14.5" x14ac:dyDescent="0.35">
      <c r="A20" s="3">
        <v>19</v>
      </c>
      <c r="B20" s="3" t="s">
        <v>25</v>
      </c>
      <c r="C20" s="2">
        <v>3</v>
      </c>
      <c r="D20" s="2" t="str">
        <f t="shared" si="0"/>
        <v/>
      </c>
    </row>
    <row r="21" spans="1:4" ht="14.5" x14ac:dyDescent="0.35">
      <c r="A21" s="3">
        <v>20</v>
      </c>
      <c r="B21" s="3" t="s">
        <v>26</v>
      </c>
      <c r="C21" s="2">
        <v>3</v>
      </c>
      <c r="D21" s="2" t="str">
        <f t="shared" si="0"/>
        <v/>
      </c>
    </row>
    <row r="22" spans="1:4" ht="14.5" x14ac:dyDescent="0.35">
      <c r="A22" s="3">
        <v>21</v>
      </c>
      <c r="B22" s="3" t="s">
        <v>90</v>
      </c>
      <c r="C22" s="2">
        <v>3</v>
      </c>
      <c r="D22" s="2" t="str">
        <f t="shared" si="0"/>
        <v/>
      </c>
    </row>
    <row r="23" spans="1:4" ht="14.5" x14ac:dyDescent="0.35">
      <c r="A23" s="3">
        <v>22</v>
      </c>
      <c r="B23" s="3" t="s">
        <v>111</v>
      </c>
      <c r="C23" s="2">
        <v>3</v>
      </c>
      <c r="D23" s="2" t="str">
        <f t="shared" si="0"/>
        <v/>
      </c>
    </row>
    <row r="24" spans="1:4" ht="14.5" x14ac:dyDescent="0.35">
      <c r="A24" s="3">
        <v>23</v>
      </c>
      <c r="B24" s="3" t="s">
        <v>27</v>
      </c>
      <c r="C24" s="2">
        <v>3</v>
      </c>
      <c r="D24" s="2" t="str">
        <f t="shared" si="0"/>
        <v/>
      </c>
    </row>
    <row r="25" spans="1:4" ht="14.5" x14ac:dyDescent="0.35">
      <c r="A25" s="3">
        <v>24</v>
      </c>
      <c r="B25" s="3" t="s">
        <v>28</v>
      </c>
      <c r="C25" s="2">
        <v>3</v>
      </c>
      <c r="D25" s="2" t="str">
        <f t="shared" si="0"/>
        <v/>
      </c>
    </row>
    <row r="26" spans="1:4" ht="14.5" x14ac:dyDescent="0.35">
      <c r="A26" s="3">
        <v>25</v>
      </c>
      <c r="B26" s="3" t="s">
        <v>91</v>
      </c>
      <c r="C26" s="2">
        <v>3</v>
      </c>
      <c r="D26" s="2" t="str">
        <f t="shared" si="0"/>
        <v/>
      </c>
    </row>
    <row r="27" spans="1:4" ht="14.5" x14ac:dyDescent="0.35">
      <c r="A27" s="3">
        <v>26</v>
      </c>
      <c r="B27" s="3" t="s">
        <v>92</v>
      </c>
      <c r="C27" s="2">
        <v>3</v>
      </c>
      <c r="D27" s="2" t="str">
        <f t="shared" si="0"/>
        <v/>
      </c>
    </row>
    <row r="28" spans="1:4" ht="14.5" x14ac:dyDescent="0.35">
      <c r="A28" s="3">
        <v>27</v>
      </c>
      <c r="B28" s="3" t="s">
        <v>93</v>
      </c>
      <c r="C28" s="2">
        <v>3</v>
      </c>
      <c r="D28" s="2" t="str">
        <f t="shared" si="0"/>
        <v/>
      </c>
    </row>
    <row r="29" spans="1:4" ht="14.5" x14ac:dyDescent="0.35">
      <c r="A29" s="3">
        <v>28</v>
      </c>
      <c r="B29" s="3" t="s">
        <v>29</v>
      </c>
      <c r="C29" s="2">
        <v>3</v>
      </c>
      <c r="D29" s="2" t="str">
        <f t="shared" si="0"/>
        <v/>
      </c>
    </row>
    <row r="30" spans="1:4" ht="14.5" x14ac:dyDescent="0.35">
      <c r="A30" s="3">
        <v>29</v>
      </c>
      <c r="B30" s="3" t="s">
        <v>30</v>
      </c>
      <c r="C30" s="2">
        <v>3</v>
      </c>
      <c r="D30" s="2" t="str">
        <f t="shared" si="0"/>
        <v/>
      </c>
    </row>
    <row r="31" spans="1:4" ht="14.5" x14ac:dyDescent="0.35">
      <c r="A31" s="3">
        <v>30</v>
      </c>
      <c r="B31" s="3" t="s">
        <v>31</v>
      </c>
      <c r="C31" s="2">
        <v>3</v>
      </c>
      <c r="D31" s="2" t="str">
        <f t="shared" si="0"/>
        <v/>
      </c>
    </row>
    <row r="32" spans="1:4" ht="14.5" x14ac:dyDescent="0.35">
      <c r="A32" s="3">
        <v>31</v>
      </c>
      <c r="B32" s="3" t="s">
        <v>32</v>
      </c>
      <c r="C32" s="2">
        <v>3</v>
      </c>
      <c r="D32" s="2" t="str">
        <f t="shared" si="0"/>
        <v/>
      </c>
    </row>
    <row r="33" spans="1:4" ht="14.5" x14ac:dyDescent="0.35">
      <c r="A33" s="3">
        <v>32</v>
      </c>
      <c r="B33" s="3" t="s">
        <v>33</v>
      </c>
      <c r="C33" s="2">
        <v>3</v>
      </c>
      <c r="D33" s="2" t="str">
        <f t="shared" si="0"/>
        <v/>
      </c>
    </row>
    <row r="34" spans="1:4" ht="14.5" x14ac:dyDescent="0.35">
      <c r="A34" s="3">
        <v>33</v>
      </c>
      <c r="B34" s="3" t="s">
        <v>94</v>
      </c>
      <c r="C34" s="2">
        <v>3</v>
      </c>
      <c r="D34" s="2" t="str">
        <f t="shared" si="0"/>
        <v/>
      </c>
    </row>
    <row r="35" spans="1:4" ht="14.5" x14ac:dyDescent="0.35">
      <c r="A35" s="3">
        <v>34</v>
      </c>
      <c r="B35" s="3" t="s">
        <v>80</v>
      </c>
      <c r="C35" s="4" t="s">
        <v>88</v>
      </c>
      <c r="D35" s="2"/>
    </row>
    <row r="36" spans="1:4" ht="14.5" x14ac:dyDescent="0.35">
      <c r="A36" s="3">
        <v>35</v>
      </c>
      <c r="B36" s="3" t="s">
        <v>95</v>
      </c>
      <c r="C36" s="4" t="s">
        <v>88</v>
      </c>
      <c r="D36" s="2"/>
    </row>
    <row r="37" spans="1:4" ht="14.5" x14ac:dyDescent="0.35">
      <c r="A37" s="3">
        <v>36</v>
      </c>
      <c r="B37" s="3" t="s">
        <v>96</v>
      </c>
      <c r="C37" s="4" t="s">
        <v>88</v>
      </c>
      <c r="D37" s="2"/>
    </row>
    <row r="38" spans="1:4" ht="14.5" x14ac:dyDescent="0.35">
      <c r="A38" s="3">
        <v>37</v>
      </c>
      <c r="B38" s="3" t="s">
        <v>97</v>
      </c>
      <c r="C38" s="4" t="s">
        <v>88</v>
      </c>
      <c r="D38" s="2"/>
    </row>
    <row r="39" spans="1:4" ht="14.5" x14ac:dyDescent="0.35">
      <c r="A39" s="3">
        <v>38</v>
      </c>
      <c r="B39" s="3" t="s">
        <v>98</v>
      </c>
      <c r="C39" s="4" t="s">
        <v>88</v>
      </c>
      <c r="D39" s="2"/>
    </row>
    <row r="40" spans="1:4" ht="14.5" x14ac:dyDescent="0.35">
      <c r="A40" s="3">
        <v>39</v>
      </c>
      <c r="B40" s="3" t="s">
        <v>99</v>
      </c>
      <c r="C40" s="4" t="s">
        <v>88</v>
      </c>
      <c r="D40" s="2"/>
    </row>
    <row r="41" spans="1:4" ht="14.5" x14ac:dyDescent="0.35">
      <c r="A41" s="3">
        <v>40</v>
      </c>
      <c r="B41" s="3" t="s">
        <v>100</v>
      </c>
      <c r="C41" s="4" t="s">
        <v>88</v>
      </c>
      <c r="D41" s="2"/>
    </row>
    <row r="42" spans="1:4" ht="14.5" x14ac:dyDescent="0.35">
      <c r="A42" s="3">
        <v>41</v>
      </c>
      <c r="B42" s="3" t="s">
        <v>101</v>
      </c>
      <c r="C42" s="4" t="s">
        <v>106</v>
      </c>
      <c r="D42" s="2"/>
    </row>
    <row r="43" spans="1:4" ht="14.5" x14ac:dyDescent="0.35">
      <c r="A43" s="3">
        <v>42</v>
      </c>
      <c r="B43" s="3" t="s">
        <v>52</v>
      </c>
      <c r="C43" s="4" t="s">
        <v>106</v>
      </c>
      <c r="D43" s="2" t="str">
        <f>IF(C57="Pilates",1,
IF(C57="Yoga",2,
IF(C57="Fitness &amp; Musculation",3,
IF(C57="Escalade",5,
IF(C57="Boxe",6,
IF(C57="Danse",7,
IF(C57="Gymnastique",8,
IF(C57="Activité Physique Adaptée (APA)",9,
IF(C57="Bien-Être &amp; Récupération",10,
IF(C57="Activités aquatiques",11,
IF(C57="Animation &amp; Encadrement sportif",4,""))))))))))
)</f>
        <v/>
      </c>
    </row>
    <row r="44" spans="1:4" ht="14.5" x14ac:dyDescent="0.35">
      <c r="A44" s="3">
        <v>43</v>
      </c>
      <c r="B44" s="3" t="s">
        <v>102</v>
      </c>
      <c r="C44" s="4" t="s">
        <v>106</v>
      </c>
      <c r="D44" s="2" t="str">
        <f>IF(C58="Pilates",1,
IF(C58="Yoga",2,
IF(C58="Fitness &amp; Musculation",3,
IF(C58="Escalade",5,
IF(C58="Boxe",6,
IF(C58="Danse",7,
IF(C58="Gymnastique",8,
IF(C58="Activité Physique Adaptée (APA)",9,
IF(C58="Bien-Être &amp; Récupération",10,
IF(C58="Activités aquatiques",11,
IF(C58="Animation &amp; Encadrement sportif",4,""))))))))))
)</f>
        <v/>
      </c>
    </row>
    <row r="45" spans="1:4" ht="14.5" x14ac:dyDescent="0.35">
      <c r="A45" s="3">
        <v>44</v>
      </c>
      <c r="B45" s="3" t="s">
        <v>53</v>
      </c>
      <c r="C45" s="4" t="s">
        <v>106</v>
      </c>
      <c r="D45" s="2" t="str">
        <f>IF(C59="Pilates",1,
IF(C59="Yoga",2,
IF(C59="Fitness &amp; Musculation",3,
IF(C59="Escalade",5,
IF(C59="Boxe",6,
IF(C59="Danse",7,
IF(C59="Gymnastique",8,
IF(C59="Activité Physique Adaptée (APA)",9,
IF(C59="Bien-Être &amp; Récupération",10,
IF(C59="Activités aquatiques",11,
IF(C59="Animation &amp; Encadrement sportif",4,""))))))))))
)</f>
        <v/>
      </c>
    </row>
    <row r="46" spans="1:4" ht="14.5" x14ac:dyDescent="0.35">
      <c r="A46" s="3">
        <v>45</v>
      </c>
      <c r="B46" s="3" t="s">
        <v>54</v>
      </c>
      <c r="C46" s="4" t="s">
        <v>106</v>
      </c>
      <c r="D46" s="2" t="str">
        <f>IF(C60="Pilates",1,
IF(C60="Yoga",2,
IF(C60="Fitness &amp; Musculation",3,
IF(C60="Escalade",5,
IF(C60="Boxe",6,
IF(C60="Danse",7,
IF(C60="Gymnastique",8,
IF(C60="Activité Physique Adaptée (APA)",9,
IF(C60="Bien-Être &amp; Récupération",10,
IF(C60="Activités aquatiques",11,
IF(C60="Animation &amp; Encadrement sportif",4,""))))))))))
)</f>
        <v/>
      </c>
    </row>
    <row r="47" spans="1:4" ht="14.5" x14ac:dyDescent="0.35">
      <c r="A47" s="3">
        <v>46</v>
      </c>
      <c r="B47" s="3" t="s">
        <v>104</v>
      </c>
      <c r="C47" s="4" t="s">
        <v>106</v>
      </c>
      <c r="D47" s="2" t="str">
        <f>IF(C61="Pilates",1,
IF(C61="Yoga",2,
IF(C61="Fitness &amp; Musculation",3,
IF(C61="Escalade",5,
IF(C61="Boxe",6,
IF(C61="Danse",7,
IF(C61="Gymnastique",8,
IF(C61="Activité Physique Adaptée (APA)",9,
IF(C61="Bien-Être &amp; Récupération",10,
IF(C61="Activités aquatiques",11,
IF(C61="Animation &amp; Encadrement sportif",4,""))))))))))
)</f>
        <v/>
      </c>
    </row>
    <row r="48" spans="1:4" ht="14.5" x14ac:dyDescent="0.35">
      <c r="A48" s="3">
        <v>47</v>
      </c>
      <c r="B48" s="3" t="s">
        <v>105</v>
      </c>
      <c r="C48" s="4" t="s">
        <v>106</v>
      </c>
      <c r="D48" s="2"/>
    </row>
    <row r="49" spans="1:4" ht="14.5" x14ac:dyDescent="0.35">
      <c r="A49" s="3">
        <v>48</v>
      </c>
      <c r="B49" s="3" t="s">
        <v>103</v>
      </c>
      <c r="C49" s="4" t="s">
        <v>106</v>
      </c>
      <c r="D49" s="2" t="str">
        <f>IF(C62="Pilates",1,
IF(C62="Yoga",2,
IF(C62="Fitness &amp; Musculation",3,
IF(C62="Escalade",5,
IF(C62="Boxe",6,
IF(C62="Danse",7,
IF(C62="Gymnastique",8,
IF(C62="Activité Physique Adaptée (APA)",9,
IF(C62="Bien-Être &amp; Récupération",10,
IF(C62="Activités aquatiques",11,
IF(C62="Animation &amp; Encadrement sportif",4,""))))))))))
)</f>
        <v/>
      </c>
    </row>
    <row r="50" spans="1:4" ht="14.5" x14ac:dyDescent="0.35">
      <c r="A50" s="3">
        <v>49</v>
      </c>
      <c r="B50" s="3" t="s">
        <v>55</v>
      </c>
      <c r="C50" s="4" t="s">
        <v>106</v>
      </c>
      <c r="D50" s="2" t="str">
        <f>IF(C63="Pilates",1,
IF(C63="Yoga",2,
IF(C63="Fitness &amp; Musculation",3,
IF(C63="Escalade",5,
IF(C63="Boxe",6,
IF(C63="Danse",7,
IF(C63="Gymnastique",8,
IF(C63="Activité Physique Adaptée (APA)",9,
IF(C63="Bien-Être &amp; Récupération",10,
IF(C63="Activités aquatiques",11,
IF(C63="Animation &amp; Encadrement sportif",4,""))))))))))
)</f>
        <v/>
      </c>
    </row>
    <row r="51" spans="1:4" ht="14.5" x14ac:dyDescent="0.35">
      <c r="A51" s="3">
        <v>50</v>
      </c>
      <c r="B51" s="3" t="s">
        <v>71</v>
      </c>
      <c r="C51" s="2">
        <v>4</v>
      </c>
      <c r="D51" s="2" t="str">
        <f>IF(C65="Pilates",1,
IF(C65="Yoga",2,
IF(C65="Fitness &amp; Musculation",3,
IF(C65="Escalade",5,
IF(C65="Boxe",6,
IF(C65="Danse",7,
IF(C65="Gymnastique",8,
IF(C65="Activité Physique Adaptée (APA)",9,
IF(C65="Bien-Être &amp; Récupération",10,
IF(C65="Activités aquatiques",11,
IF(C65="Animation &amp; Encadrement sportif",4,""))))))))))
)</f>
        <v/>
      </c>
    </row>
    <row r="52" spans="1:4" ht="14.5" x14ac:dyDescent="0.35">
      <c r="A52" s="3">
        <v>51</v>
      </c>
      <c r="B52" s="3" t="s">
        <v>72</v>
      </c>
      <c r="C52" s="2">
        <v>4</v>
      </c>
      <c r="D52" s="2" t="str">
        <f>IF(C69="Pilates",1,
IF(C69="Yoga",2,
IF(C69="Fitness &amp; Musculation",3,
IF(C69="Escalade",5,
IF(C69="Boxe",6,
IF(C69="Danse",7,
IF(C69="Gymnastique",8,
IF(C69="Activité Physique Adaptée (APA)",9,
IF(C69="Bien-Être &amp; Récupération",10,
IF(C69="Activités aquatiques",11,
IF(C69="Animation &amp; Encadrement sportif",4,""))))))))))
)</f>
        <v/>
      </c>
    </row>
    <row r="53" spans="1:4" ht="14.5" x14ac:dyDescent="0.35">
      <c r="A53" s="3">
        <v>52</v>
      </c>
      <c r="B53" s="3" t="s">
        <v>73</v>
      </c>
      <c r="C53" s="2">
        <v>4</v>
      </c>
      <c r="D53" s="2" t="str">
        <f>IF(C70="Pilates",1,
IF(C70="Yoga",2,
IF(C70="Fitness &amp; Musculation",3,
IF(C70="Escalade",5,
IF(C70="Boxe",6,
IF(C70="Danse",7,
IF(C70="Gymnastique",8,
IF(C70="Activité Physique Adaptée (APA)",9,
IF(C70="Bien-Être &amp; Récupération",10,
IF(C70="Activités aquatiques",11,
IF(C70="Animation &amp; Encadrement sportif",4,""))))))))))
)</f>
        <v/>
      </c>
    </row>
    <row r="54" spans="1:4" ht="14.5" x14ac:dyDescent="0.35">
      <c r="A54" s="3">
        <v>53</v>
      </c>
      <c r="B54" s="3" t="s">
        <v>74</v>
      </c>
      <c r="C54" s="2">
        <v>4</v>
      </c>
      <c r="D54" s="2" t="str">
        <f>IF(C71="Pilates",1,
IF(C71="Yoga",2,
IF(C71="Fitness &amp; Musculation",3,
IF(C71="Escalade",5,
IF(C71="Boxe",6,
IF(C71="Danse",7,
IF(C71="Gymnastique",8,
IF(C71="Activité Physique Adaptée (APA)",9,
IF(C71="Bien-Être &amp; Récupération",10,
IF(C71="Activités aquatiques",11,
IF(C71="Animation &amp; Encadrement sportif",4,""))))))))))
)</f>
        <v/>
      </c>
    </row>
    <row r="55" spans="1:4" ht="14.5" x14ac:dyDescent="0.35">
      <c r="A55" s="3">
        <v>54</v>
      </c>
      <c r="B55" s="3" t="s">
        <v>75</v>
      </c>
      <c r="C55" s="2">
        <v>4</v>
      </c>
      <c r="D55" s="2" t="str">
        <f>IF(C72="Pilates",1,
IF(C72="Yoga",2,
IF(C72="Fitness &amp; Musculation",3,
IF(C72="Escalade",5,
IF(C72="Boxe",6,
IF(C72="Danse",7,
IF(C72="Gymnastique",8,
IF(C72="Activité Physique Adaptée (APA)",9,
IF(C72="Bien-Être &amp; Récupération",10,
IF(C72="Activités aquatiques",11,
IF(C72="Animation &amp; Encadrement sportif",4,""))))))))))
)</f>
        <v/>
      </c>
    </row>
    <row r="56" spans="1:4" ht="14.5" x14ac:dyDescent="0.35">
      <c r="A56" s="3">
        <v>55</v>
      </c>
      <c r="B56" s="3" t="s">
        <v>76</v>
      </c>
      <c r="C56" s="2">
        <v>4</v>
      </c>
      <c r="D56" s="2" t="str">
        <f>IF(C74="Pilates",1,
IF(C74="Yoga",2,
IF(C74="Fitness &amp; Musculation",3,
IF(C74="Escalade",5,
IF(C74="Boxe",6,
IF(C74="Danse",7,
IF(C74="Gymnastique",8,
IF(C74="Activité Physique Adaptée (APA)",9,
IF(C74="Bien-Être &amp; Récupération",10,
IF(C74="Activités aquatiques",11,
IF(C74="Animation &amp; Encadrement sportif",4,""))))))))))
)</f>
        <v/>
      </c>
    </row>
    <row r="57" spans="1:4" ht="14.5" x14ac:dyDescent="0.35">
      <c r="A57" s="3">
        <v>56</v>
      </c>
      <c r="B57" s="3" t="s">
        <v>34</v>
      </c>
      <c r="C57" s="2">
        <v>5</v>
      </c>
      <c r="D57" s="2" t="str">
        <f>IF(C75="Pilates",1,
IF(C75="Yoga",2,
IF(C75="Fitness &amp; Musculation",3,
IF(C75="Escalade",5,
IF(C75="Boxe",6,
IF(C75="Danse",7,
IF(C75="Gymnastique",8,
IF(C75="Activité Physique Adaptée (APA)",9,
IF(C75="Bien-Être &amp; Récupération",10,
IF(C75="Activités aquatiques",11,
IF(C75="Animation &amp; Encadrement sportif",4,""))))))))))
)</f>
        <v/>
      </c>
    </row>
    <row r="58" spans="1:4" ht="14.5" x14ac:dyDescent="0.35">
      <c r="A58" s="3">
        <v>57</v>
      </c>
      <c r="B58" s="3" t="s">
        <v>35</v>
      </c>
      <c r="C58" s="2">
        <v>5</v>
      </c>
      <c r="D58" s="2" t="str">
        <f>IF(C76="Pilates",1,
IF(C76="Yoga",2,
IF(C76="Fitness &amp; Musculation",3,
IF(C76="Escalade",5,
IF(C76="Boxe",6,
IF(C76="Danse",7,
IF(C76="Gymnastique",8,
IF(C76="Activité Physique Adaptée (APA)",9,
IF(C76="Bien-Être &amp; Récupération",10,
IF(C76="Activités aquatiques",11,
IF(C76="Animation &amp; Encadrement sportif",4,""))))))))))
)</f>
        <v/>
      </c>
    </row>
    <row r="59" spans="1:4" ht="14.5" x14ac:dyDescent="0.35">
      <c r="A59" s="3">
        <v>58</v>
      </c>
      <c r="B59" s="3" t="s">
        <v>36</v>
      </c>
      <c r="C59" s="2">
        <v>5</v>
      </c>
      <c r="D59" s="2" t="str">
        <f>IF(C77="Pilates",1,
IF(C77="Yoga",2,
IF(C77="Fitness &amp; Musculation",3,
IF(C77="Escalade",5,
IF(C77="Boxe",6,
IF(C77="Danse",7,
IF(C77="Gymnastique",8,
IF(C77="Activité Physique Adaptée (APA)",9,
IF(C77="Bien-Être &amp; Récupération",10,
IF(C77="Activités aquatiques",11,
IF(C77="Animation &amp; Encadrement sportif",4,""))))))))))
)</f>
        <v/>
      </c>
    </row>
    <row r="60" spans="1:4" ht="14.5" x14ac:dyDescent="0.35">
      <c r="A60" s="3">
        <v>59</v>
      </c>
      <c r="B60" s="3" t="s">
        <v>107</v>
      </c>
      <c r="C60" s="2">
        <v>5</v>
      </c>
      <c r="D60" s="2"/>
    </row>
    <row r="61" spans="1:4" ht="14.5" x14ac:dyDescent="0.35">
      <c r="A61" s="3">
        <v>60</v>
      </c>
      <c r="B61" s="3" t="s">
        <v>37</v>
      </c>
      <c r="C61" s="2">
        <v>5</v>
      </c>
      <c r="D61" s="2"/>
    </row>
    <row r="62" spans="1:4" ht="14.5" x14ac:dyDescent="0.35">
      <c r="A62" s="3">
        <v>61</v>
      </c>
      <c r="B62" s="3" t="s">
        <v>38</v>
      </c>
      <c r="C62" s="2">
        <v>5</v>
      </c>
      <c r="D62" s="2"/>
    </row>
    <row r="63" spans="1:4" ht="14.5" x14ac:dyDescent="0.35">
      <c r="A63" s="3">
        <v>62</v>
      </c>
      <c r="B63" s="3" t="s">
        <v>39</v>
      </c>
      <c r="C63" s="2">
        <v>6</v>
      </c>
      <c r="D63" s="2" t="str">
        <f>IF(C78="Pilates",1,
IF(C78="Yoga",2,
IF(C78="Fitness &amp; Musculation",3,
IF(C78="Escalade",5,
IF(C78="Boxe",6,
IF(C78="Danse",7,
IF(C78="Gymnastique",8,
IF(C78="Activité Physique Adaptée (APA)",9,
IF(C78="Bien-Être &amp; Récupération",10,
IF(C78="Activités aquatiques",11,
IF(C78="Animation &amp; Encadrement sportif",4,""))))))))))
)</f>
        <v/>
      </c>
    </row>
    <row r="64" spans="1:4" ht="14.5" x14ac:dyDescent="0.35">
      <c r="A64" s="3">
        <v>63</v>
      </c>
      <c r="B64" s="3" t="s">
        <v>40</v>
      </c>
      <c r="C64" s="2">
        <v>6</v>
      </c>
      <c r="D64" s="2" t="str">
        <f>IF(C42="Pilates",1,
IF(C42="Yoga",2,
IF(C42="Fitness &amp; Musculation",3,
IF(C42="Escalade",5,
IF(C42="Boxe",6,
IF(C42="Danse",7,
IF(C42="Gymnastique",8,
IF(C42="Activité Physique Adaptée (APA)",9,
IF(C42="Bien-Être &amp; Récupération",10,
IF(C42="Activités aquatiques",11,
IF(C42="Animation &amp; Encadrement sportif",4,""))))))))))
)</f>
        <v/>
      </c>
    </row>
    <row r="65" spans="1:4" ht="14.5" x14ac:dyDescent="0.35">
      <c r="A65" s="3">
        <v>64</v>
      </c>
      <c r="B65" s="3" t="s">
        <v>41</v>
      </c>
      <c r="C65" s="2">
        <v>6</v>
      </c>
    </row>
    <row r="66" spans="1:4" ht="14.5" x14ac:dyDescent="0.35">
      <c r="A66" s="3">
        <v>65</v>
      </c>
      <c r="B66" s="3" t="s">
        <v>110</v>
      </c>
      <c r="C66" s="2">
        <v>6</v>
      </c>
    </row>
    <row r="67" spans="1:4" ht="14.5" x14ac:dyDescent="0.35">
      <c r="A67" s="3">
        <v>66</v>
      </c>
      <c r="B67" s="3" t="s">
        <v>109</v>
      </c>
      <c r="C67" s="2">
        <v>6</v>
      </c>
    </row>
    <row r="68" spans="1:4" ht="14.5" x14ac:dyDescent="0.35">
      <c r="A68" s="3">
        <v>67</v>
      </c>
      <c r="B68" s="3" t="s">
        <v>108</v>
      </c>
      <c r="C68" s="2">
        <v>6</v>
      </c>
    </row>
    <row r="69" spans="1:4" ht="14.5" x14ac:dyDescent="0.35">
      <c r="A69" s="3">
        <v>68</v>
      </c>
      <c r="B69" s="3" t="s">
        <v>42</v>
      </c>
      <c r="C69" s="2">
        <v>6</v>
      </c>
    </row>
    <row r="70" spans="1:4" ht="14.5" x14ac:dyDescent="0.35">
      <c r="A70" s="3">
        <v>69</v>
      </c>
      <c r="B70" s="3" t="s">
        <v>43</v>
      </c>
      <c r="C70" s="2">
        <v>6</v>
      </c>
    </row>
    <row r="71" spans="1:4" ht="14.5" x14ac:dyDescent="0.35">
      <c r="A71" s="3">
        <v>70</v>
      </c>
      <c r="B71" s="3" t="s">
        <v>44</v>
      </c>
      <c r="C71" s="2">
        <v>6</v>
      </c>
    </row>
    <row r="72" spans="1:4" ht="14.5" x14ac:dyDescent="0.35">
      <c r="A72" s="3">
        <v>71</v>
      </c>
      <c r="B72" s="3" t="s">
        <v>45</v>
      </c>
      <c r="C72" s="2">
        <v>6</v>
      </c>
    </row>
    <row r="73" spans="1:4" ht="14.5" x14ac:dyDescent="0.35">
      <c r="A73" s="3">
        <v>72</v>
      </c>
      <c r="B73" s="3" t="s">
        <v>46</v>
      </c>
      <c r="C73" s="2">
        <v>7</v>
      </c>
      <c r="D73" s="2" t="str">
        <f t="shared" ref="D73:D87" si="1">IF(C79="Pilates",1,
IF(C79="Yoga",2,
IF(C79="Fitness &amp; Musculation",3,
IF(C79="Escalade",5,
IF(C79="Boxe",6,
IF(C79="Danse",7,
IF(C79="Gymnastique",8,
IF(C79="Activité Physique Adaptée (APA)",9,
IF(C79="Bien-Être &amp; Récupération",10,
IF(C79="Activités aquatiques",11,
IF(C79="Animation &amp; Encadrement sportif",4,""))))))))))
)</f>
        <v/>
      </c>
    </row>
    <row r="74" spans="1:4" ht="14.5" x14ac:dyDescent="0.35">
      <c r="A74" s="3">
        <v>73</v>
      </c>
      <c r="B74" s="3" t="s">
        <v>47</v>
      </c>
      <c r="C74" s="2">
        <v>7</v>
      </c>
      <c r="D74" s="2" t="str">
        <f t="shared" si="1"/>
        <v/>
      </c>
    </row>
    <row r="75" spans="1:4" ht="14.5" x14ac:dyDescent="0.35">
      <c r="A75" s="3">
        <v>74</v>
      </c>
      <c r="B75" s="3" t="s">
        <v>48</v>
      </c>
      <c r="C75" s="2">
        <v>7</v>
      </c>
      <c r="D75" s="2" t="str">
        <f t="shared" si="1"/>
        <v/>
      </c>
    </row>
    <row r="76" spans="1:4" ht="14.5" x14ac:dyDescent="0.35">
      <c r="A76" s="3">
        <v>75</v>
      </c>
      <c r="B76" s="3" t="s">
        <v>49</v>
      </c>
      <c r="C76" s="2">
        <v>7</v>
      </c>
      <c r="D76" s="2" t="str">
        <f t="shared" si="1"/>
        <v/>
      </c>
    </row>
    <row r="77" spans="1:4" ht="14.5" x14ac:dyDescent="0.35">
      <c r="A77" s="3">
        <v>76</v>
      </c>
      <c r="B77" s="3" t="s">
        <v>50</v>
      </c>
      <c r="C77" s="2">
        <v>7</v>
      </c>
      <c r="D77" s="2" t="str">
        <f t="shared" si="1"/>
        <v/>
      </c>
    </row>
    <row r="78" spans="1:4" ht="14.5" x14ac:dyDescent="0.35">
      <c r="A78" s="3">
        <v>77</v>
      </c>
      <c r="B78" s="3" t="s">
        <v>51</v>
      </c>
      <c r="C78" s="2">
        <v>7</v>
      </c>
      <c r="D78" s="2" t="str">
        <f t="shared" si="1"/>
        <v/>
      </c>
    </row>
    <row r="79" spans="1:4" ht="14.5" x14ac:dyDescent="0.35">
      <c r="A79" s="3">
        <v>78</v>
      </c>
      <c r="B79" s="3" t="s">
        <v>56</v>
      </c>
      <c r="C79" s="2">
        <v>7</v>
      </c>
      <c r="D79" s="2" t="str">
        <f t="shared" si="1"/>
        <v/>
      </c>
    </row>
    <row r="80" spans="1:4" ht="14.5" x14ac:dyDescent="0.35">
      <c r="A80" s="3">
        <v>79</v>
      </c>
      <c r="B80" s="3" t="s">
        <v>57</v>
      </c>
      <c r="C80" s="2">
        <v>7</v>
      </c>
      <c r="D80" s="2" t="str">
        <f t="shared" si="1"/>
        <v/>
      </c>
    </row>
    <row r="81" spans="1:4" ht="14.5" x14ac:dyDescent="0.35">
      <c r="A81" s="3">
        <v>80</v>
      </c>
      <c r="B81" s="3" t="s">
        <v>58</v>
      </c>
      <c r="C81" s="2">
        <v>7</v>
      </c>
      <c r="D81" s="2" t="str">
        <f t="shared" si="1"/>
        <v/>
      </c>
    </row>
    <row r="82" spans="1:4" ht="14.5" x14ac:dyDescent="0.35">
      <c r="A82" s="3">
        <v>81</v>
      </c>
      <c r="B82" s="3" t="s">
        <v>59</v>
      </c>
      <c r="C82" s="2">
        <v>8</v>
      </c>
      <c r="D82" s="2" t="str">
        <f t="shared" si="1"/>
        <v/>
      </c>
    </row>
    <row r="83" spans="1:4" ht="14.5" x14ac:dyDescent="0.35">
      <c r="A83" s="3">
        <v>82</v>
      </c>
      <c r="B83" s="3" t="s">
        <v>60</v>
      </c>
      <c r="C83" s="2">
        <v>8</v>
      </c>
      <c r="D83" s="2" t="str">
        <f t="shared" si="1"/>
        <v/>
      </c>
    </row>
    <row r="84" spans="1:4" ht="14.5" x14ac:dyDescent="0.35">
      <c r="A84" s="3">
        <v>83</v>
      </c>
      <c r="B84" s="3" t="s">
        <v>61</v>
      </c>
      <c r="C84" s="2">
        <v>8</v>
      </c>
      <c r="D84" s="2" t="str">
        <f t="shared" si="1"/>
        <v/>
      </c>
    </row>
    <row r="85" spans="1:4" ht="14.5" x14ac:dyDescent="0.35">
      <c r="A85" s="3">
        <v>84</v>
      </c>
      <c r="B85" s="3" t="s">
        <v>62</v>
      </c>
      <c r="C85" s="2">
        <v>8</v>
      </c>
      <c r="D85" s="2" t="str">
        <f t="shared" si="1"/>
        <v/>
      </c>
    </row>
    <row r="86" spans="1:4" ht="14.5" x14ac:dyDescent="0.35">
      <c r="A86" s="3">
        <v>85</v>
      </c>
      <c r="B86" s="3" t="s">
        <v>63</v>
      </c>
      <c r="C86" s="2">
        <v>8</v>
      </c>
      <c r="D86" s="2" t="str">
        <f t="shared" si="1"/>
        <v/>
      </c>
    </row>
    <row r="87" spans="1:4" ht="14.5" x14ac:dyDescent="0.35">
      <c r="A87" s="3">
        <v>86</v>
      </c>
      <c r="B87" s="3" t="s">
        <v>64</v>
      </c>
      <c r="C87" s="2">
        <v>8</v>
      </c>
      <c r="D87" s="2" t="str">
        <f t="shared" si="1"/>
        <v/>
      </c>
    </row>
    <row r="88" spans="1:4" ht="14.5" x14ac:dyDescent="0.35">
      <c r="A88" s="3">
        <v>87</v>
      </c>
      <c r="B88" s="3" t="s">
        <v>65</v>
      </c>
      <c r="C88" s="2">
        <v>8</v>
      </c>
      <c r="D88" s="2" t="str">
        <f t="shared" ref="D88:D93" si="2">IF(C51="Pilates",1,
IF(C51="Yoga",2,
IF(C51="Fitness &amp; Musculation",3,
IF(C51="Escalade",5,
IF(C51="Boxe",6,
IF(C51="Danse",7,
IF(C51="Gymnastique",8,
IF(C51="Activité Physique Adaptée (APA)",9,
IF(C51="Bien-Être &amp; Récupération",10,
IF(C51="Activités aquatiques",11,
IF(C51="Animation &amp; Encadrement sportif",4,""))))))))))
)</f>
        <v/>
      </c>
    </row>
    <row r="89" spans="1:4" ht="14.5" x14ac:dyDescent="0.35">
      <c r="A89" s="3">
        <v>88</v>
      </c>
      <c r="B89" s="3" t="s">
        <v>66</v>
      </c>
      <c r="C89" s="2">
        <v>8</v>
      </c>
      <c r="D89" s="2" t="str">
        <f t="shared" si="2"/>
        <v/>
      </c>
    </row>
    <row r="90" spans="1:4" ht="14.5" x14ac:dyDescent="0.35">
      <c r="A90" s="3">
        <v>89</v>
      </c>
      <c r="B90" s="3" t="s">
        <v>67</v>
      </c>
      <c r="C90" s="2">
        <v>8</v>
      </c>
      <c r="D90" s="2" t="str">
        <f t="shared" si="2"/>
        <v/>
      </c>
    </row>
    <row r="91" spans="1:4" ht="14.5" x14ac:dyDescent="0.35">
      <c r="A91" s="3">
        <v>90</v>
      </c>
      <c r="B91" s="3" t="s">
        <v>68</v>
      </c>
      <c r="C91" s="2">
        <v>8</v>
      </c>
      <c r="D91" s="2" t="str">
        <f t="shared" si="2"/>
        <v/>
      </c>
    </row>
    <row r="92" spans="1:4" ht="14.5" x14ac:dyDescent="0.35">
      <c r="A92" s="3">
        <v>91</v>
      </c>
      <c r="B92" s="3" t="s">
        <v>69</v>
      </c>
      <c r="C92" s="2">
        <v>8</v>
      </c>
      <c r="D92" s="2" t="str">
        <f t="shared" si="2"/>
        <v/>
      </c>
    </row>
    <row r="93" spans="1:4" ht="14.5" x14ac:dyDescent="0.35">
      <c r="A93" s="3">
        <v>92</v>
      </c>
      <c r="B93" s="3" t="s">
        <v>70</v>
      </c>
      <c r="C93" s="2">
        <v>8</v>
      </c>
      <c r="D93" s="2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Catégorie</vt:lpstr>
      <vt:lpstr>Sous catégorie</vt:lpstr>
      <vt:lpstr>Spécialité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vere</dc:creator>
  <cp:lastModifiedBy>nicolas vere</cp:lastModifiedBy>
  <dcterms:created xsi:type="dcterms:W3CDTF">2026-02-27T15:14:38Z</dcterms:created>
  <dcterms:modified xsi:type="dcterms:W3CDTF">2026-03-04T07:58:26Z</dcterms:modified>
</cp:coreProperties>
</file>